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ilesh\Downloads\"/>
    </mc:Choice>
  </mc:AlternateContent>
  <xr:revisionPtr revIDLastSave="0" documentId="13_ncr:1_{BE6252EB-3422-4155-A65A-B9F386B6D44C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tate Waste Management" sheetId="22" r:id="rId1"/>
  </sheets>
  <definedNames>
    <definedName name="State_Territory">'State Waste Management'!$B$17:$B$24</definedName>
  </definedNames>
  <calcPr calcId="191029"/>
</workbook>
</file>

<file path=xl/calcChain.xml><?xml version="1.0" encoding="utf-8"?>
<calcChain xmlns="http://schemas.openxmlformats.org/spreadsheetml/2006/main">
  <c r="J6" i="22" l="1"/>
  <c r="J7" i="22"/>
  <c r="J8" i="22"/>
  <c r="J9" i="22"/>
  <c r="J10" i="22"/>
  <c r="J11" i="22"/>
  <c r="J12" i="22"/>
  <c r="J5" i="22"/>
  <c r="N1" i="22"/>
  <c r="O1" i="22"/>
  <c r="M1" i="22"/>
  <c r="I7" i="22"/>
  <c r="I9" i="22"/>
  <c r="I11" i="22"/>
  <c r="I5" i="22"/>
  <c r="I12" i="22" l="1"/>
  <c r="I10" i="22"/>
  <c r="I8" i="22"/>
  <c r="I6" i="22"/>
  <c r="E30" i="22" l="1"/>
  <c r="E31" i="22"/>
  <c r="E32" i="22"/>
  <c r="E33" i="22"/>
  <c r="E34" i="22"/>
  <c r="E35" i="22"/>
  <c r="E36" i="22"/>
  <c r="E29" i="22"/>
  <c r="I17" i="22" l="1"/>
  <c r="J17" i="22" s="1"/>
  <c r="I18" i="22"/>
  <c r="J18" i="22" s="1"/>
  <c r="I19" i="22"/>
  <c r="J19" i="22" s="1"/>
  <c r="I20" i="22"/>
  <c r="J20" i="22" s="1"/>
  <c r="I21" i="22"/>
  <c r="J21" i="22" s="1"/>
  <c r="I22" i="22"/>
  <c r="J22" i="22" s="1"/>
  <c r="I23" i="22"/>
  <c r="J23" i="22" s="1"/>
  <c r="I24" i="22"/>
  <c r="J24" i="22" s="1"/>
</calcChain>
</file>

<file path=xl/sharedStrings.xml><?xml version="1.0" encoding="utf-8"?>
<sst xmlns="http://schemas.openxmlformats.org/spreadsheetml/2006/main" count="107" uniqueCount="75">
  <si>
    <t>CAGR</t>
  </si>
  <si>
    <t>ACT</t>
  </si>
  <si>
    <t>NSW</t>
  </si>
  <si>
    <t>NT</t>
  </si>
  <si>
    <t>SA</t>
  </si>
  <si>
    <t>WA</t>
  </si>
  <si>
    <t>https://www.environment.gov.au/system/files/resources/7381c1de-31d0-429b-912c-91a6dbc83af7/files/national-waste-report-2018.pdf</t>
  </si>
  <si>
    <t>Resource Recovery Rates by Region</t>
  </si>
  <si>
    <t>Core Waste Ton PC</t>
  </si>
  <si>
    <t>State/Territory</t>
  </si>
  <si>
    <t>QLD</t>
  </si>
  <si>
    <t>TAS</t>
  </si>
  <si>
    <t>VIC</t>
  </si>
  <si>
    <t>Resource recovery and recycling rates 2016-2017</t>
  </si>
  <si>
    <t>Landfill</t>
  </si>
  <si>
    <t>Recovery</t>
  </si>
  <si>
    <t>Recycling</t>
  </si>
  <si>
    <t>1 ▲▼</t>
  </si>
  <si>
    <t>2 ▲▼</t>
  </si>
  <si>
    <t>3 ▲▼</t>
  </si>
  <si>
    <t>4 ▲▼</t>
  </si>
  <si>
    <t>5 ▲▼</t>
  </si>
  <si>
    <t>6 ▲▼</t>
  </si>
  <si>
    <t>7 ▲▼</t>
  </si>
  <si>
    <t>8 ▲▼</t>
  </si>
  <si>
    <t>9 ▲▼</t>
  </si>
  <si>
    <t>10 ▲▼</t>
  </si>
  <si>
    <t>11 ▲▼</t>
  </si>
  <si>
    <t>12 ▲▼</t>
  </si>
  <si>
    <t>13 ▲▼</t>
  </si>
  <si>
    <t>14 ▲▼</t>
  </si>
  <si>
    <t>15 ▲▼</t>
  </si>
  <si>
    <t>16 ▲▼</t>
  </si>
  <si>
    <t>17 ▲▼</t>
  </si>
  <si>
    <t>18 ▲▼</t>
  </si>
  <si>
    <t>19 ▲▼</t>
  </si>
  <si>
    <t>20 ▲▼</t>
  </si>
  <si>
    <t>21 ▲▼</t>
  </si>
  <si>
    <t>22 ▲▼</t>
  </si>
  <si>
    <t>23 ▲▼</t>
  </si>
  <si>
    <t>24 ▲▼</t>
  </si>
  <si>
    <t>25 ▲▼</t>
  </si>
  <si>
    <t>26 ▲▼</t>
  </si>
  <si>
    <t>27 ▲▼</t>
  </si>
  <si>
    <t>28 ▲▼</t>
  </si>
  <si>
    <t>29 ▲▼</t>
  </si>
  <si>
    <t>30 ▲▼</t>
  </si>
  <si>
    <t>31 ▲▼</t>
  </si>
  <si>
    <t>32 ▲▼</t>
  </si>
  <si>
    <t>33 ▲▼</t>
  </si>
  <si>
    <t>34 ▲▼</t>
  </si>
  <si>
    <t>35 ▲▼</t>
  </si>
  <si>
    <t>36 ▲▼</t>
  </si>
  <si>
    <t>37 ▲▼</t>
  </si>
  <si>
    <t>38 ▲▼</t>
  </si>
  <si>
    <t>39 ▲▼</t>
  </si>
  <si>
    <t>40 ▲▼</t>
  </si>
  <si>
    <t>41 ▲▼</t>
  </si>
  <si>
    <t>42 ▲▼</t>
  </si>
  <si>
    <t>43 ▲▼</t>
  </si>
  <si>
    <t>44 ▲▼</t>
  </si>
  <si>
    <t>45 ▲▼</t>
  </si>
  <si>
    <t>46 ▲▼</t>
  </si>
  <si>
    <t>47 ▲▼</t>
  </si>
  <si>
    <t>48 ▲▼</t>
  </si>
  <si>
    <t>49 ▲▼</t>
  </si>
  <si>
    <t>50 ▲▼</t>
  </si>
  <si>
    <t>51 ▲▼</t>
  </si>
  <si>
    <t>52 ▲▼</t>
  </si>
  <si>
    <t>53 ▲▼</t>
  </si>
  <si>
    <t>54 ▲▼</t>
  </si>
  <si>
    <t>55 ▲▼</t>
  </si>
  <si>
    <t>56 ▲▼</t>
  </si>
  <si>
    <t>Australian State Waste Management Report</t>
  </si>
  <si>
    <t>▲▼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</si>
</sst>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6">
    <numFmt numFmtId="164" formatCode="0.0%"/>
    <numFmt numFmtId="165" formatCode=";;;[Color4]General"/>
    <numFmt numFmtId="166" formatCode=";;;[Color1]General"/>
    <numFmt numFmtId="167" formatCode=";;;[Color2]General"/>
    <numFmt numFmtId="168" formatCode=";;;[Color3]General"/>
    <numFmt numFmtId="169" formatCode=";;;[Color5]General"/>
    <numFmt numFmtId="170" formatCode=";;;[Color6]General"/>
    <numFmt numFmtId="171" formatCode=";;;[Color8]General"/>
    <numFmt numFmtId="172" formatCode=";;;[Color9]General"/>
    <numFmt numFmtId="173" formatCode=";;;[Color10]General"/>
    <numFmt numFmtId="174" formatCode=";;;[Color11]General"/>
    <numFmt numFmtId="175" formatCode=";;;[Color12]General"/>
    <numFmt numFmtId="176" formatCode=";;;[Color13]General"/>
    <numFmt numFmtId="177" formatCode=";;;[Color16]General"/>
    <numFmt numFmtId="178" formatCode=";;;[Color17]General"/>
    <numFmt numFmtId="179" formatCode=";;;[Color15]General"/>
    <numFmt numFmtId="180" formatCode=";;;[Color18]General"/>
    <numFmt numFmtId="181" formatCode=";;;[Color19]General"/>
    <numFmt numFmtId="182" formatCode=";;;[Color20]General"/>
    <numFmt numFmtId="183" formatCode=";;;[Color21]General"/>
    <numFmt numFmtId="184" formatCode=";;;[Color22]General"/>
    <numFmt numFmtId="185" formatCode=";;;[Color23]General"/>
    <numFmt numFmtId="186" formatCode=";;;[Color24]General"/>
    <numFmt numFmtId="187" formatCode=";;;[Color25]General"/>
    <numFmt numFmtId="188" formatCode=";;;[Color26]General"/>
    <numFmt numFmtId="189" formatCode=";;;[Color27]General"/>
    <numFmt numFmtId="190" formatCode=";;;[Color28]General"/>
    <numFmt numFmtId="191" formatCode=";;;[Color29]General"/>
    <numFmt numFmtId="192" formatCode=";;;[Color30]General"/>
    <numFmt numFmtId="193" formatCode=";;;[Color31]General"/>
    <numFmt numFmtId="194" formatCode=";;;[Color32]General"/>
    <numFmt numFmtId="195" formatCode=";;;[Color33]General"/>
    <numFmt numFmtId="196" formatCode=";;;[Color34]General"/>
    <numFmt numFmtId="197" formatCode=";;;[Color35]General"/>
    <numFmt numFmtId="198" formatCode=";;;[Color36]General"/>
    <numFmt numFmtId="199" formatCode=";;;[Color37]General"/>
    <numFmt numFmtId="200" formatCode=";;;[Color38]General"/>
    <numFmt numFmtId="201" formatCode=";;;[Color39]General"/>
    <numFmt numFmtId="202" formatCode=";;;[Color40]General"/>
    <numFmt numFmtId="203" formatCode=";;;[Color41]General"/>
    <numFmt numFmtId="204" formatCode=";;;[Color42]General"/>
    <numFmt numFmtId="205" formatCode=";;;[Color43]General"/>
    <numFmt numFmtId="206" formatCode=";;;[Color44]General"/>
    <numFmt numFmtId="207" formatCode=";;;[Color45]General"/>
    <numFmt numFmtId="208" formatCode=";;;[Color46]General"/>
    <numFmt numFmtId="209" formatCode=";;;[Color47]General"/>
    <numFmt numFmtId="210" formatCode=";;;[Color48]General"/>
    <numFmt numFmtId="211" formatCode=";;;[Color49]General"/>
    <numFmt numFmtId="212" formatCode=";;;[Color50]General"/>
    <numFmt numFmtId="213" formatCode=";;;[Color51]General"/>
    <numFmt numFmtId="214" formatCode=";;;[Color52]General"/>
    <numFmt numFmtId="215" formatCode=";;;[Color53]General"/>
    <numFmt numFmtId="216" formatCode=";;;[Color54]General"/>
    <numFmt numFmtId="217" formatCode=";;;[Color55]General"/>
    <numFmt numFmtId="218" formatCode=";;;[Color56]General"/>
    <numFmt numFmtId="219" formatCode="[Green]0.0%;[Red]\-0.0%;"/>
  </numFmts>
  <fonts count="3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7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sz val="8"/>
      <name val="Calibri"/>
      <family val="2"/>
      <scheme val="minor"/>
    </font>
    <font>
      <b/>
      <sz val="18"/>
      <color theme="4"/>
      <name val="Calibri Light"/>
      <family val="2"/>
      <scheme val="major"/>
    </font>
    <font>
      <b/>
      <sz val="11"/>
      <color theme="4"/>
      <name val="Calibri"/>
      <family val="2"/>
      <scheme val="minor"/>
    </font>
    <font>
      <sz val="11"/>
      <color theme="4"/>
      <name val="Calibri"/>
      <family val="2"/>
      <scheme val="minor"/>
    </font>
    <font>
      <u/>
      <sz val="11"/>
      <color theme="4"/>
      <name val="Calibri"/>
      <family val="2"/>
      <scheme val="minor"/>
    </font>
    <font>
      <b/>
      <sz val="12"/>
      <color theme="4"/>
      <name val="Calibri"/>
      <family val="2"/>
      <scheme val="minor"/>
    </font>
    <font>
      <sz val="9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90">
    <xf numFmtId="0" fontId="0" fillId="0" borderId="0" xfId="0"/>
    <xf numFmtId="0" fontId="0" fillId="33" borderId="0" xfId="0" applyFill="1"/>
    <xf numFmtId="0" fontId="17" fillId="33" borderId="0" xfId="0" applyFont="1" applyFill="1"/>
    <xf numFmtId="164" fontId="17" fillId="33" borderId="0" xfId="43" applyNumberFormat="1" applyFont="1" applyFill="1" applyBorder="1" applyAlignment="1">
      <alignment horizontal="center" vertical="center" wrapText="1"/>
    </xf>
    <xf numFmtId="0" fontId="17" fillId="33" borderId="0" xfId="0" applyFont="1" applyFill="1" applyAlignment="1">
      <alignment horizontal="center"/>
    </xf>
    <xf numFmtId="2" fontId="17" fillId="33" borderId="0" xfId="0" applyNumberFormat="1" applyFont="1" applyFill="1" applyAlignment="1">
      <alignment horizontal="center" vertical="center" wrapText="1"/>
    </xf>
    <xf numFmtId="0" fontId="21" fillId="33" borderId="0" xfId="0" applyFont="1" applyFill="1"/>
    <xf numFmtId="9" fontId="17" fillId="33" borderId="0" xfId="43" applyFont="1" applyFill="1" applyBorder="1"/>
    <xf numFmtId="0" fontId="19" fillId="33" borderId="0" xfId="0" applyFont="1" applyFill="1"/>
    <xf numFmtId="0" fontId="19" fillId="33" borderId="0" xfId="0" applyFont="1" applyFill="1" applyAlignment="1">
      <alignment horizontal="center"/>
    </xf>
    <xf numFmtId="0" fontId="0" fillId="33" borderId="0" xfId="0" applyFill="1" applyAlignment="1">
      <alignment horizontal="center"/>
    </xf>
    <xf numFmtId="166" fontId="22" fillId="33" borderId="0" xfId="0" applyNumberFormat="1" applyFont="1" applyFill="1" applyAlignment="1">
      <alignment horizontal="center"/>
    </xf>
    <xf numFmtId="191" fontId="22" fillId="33" borderId="0" xfId="0" applyNumberFormat="1" applyFont="1" applyFill="1" applyAlignment="1">
      <alignment horizontal="center"/>
    </xf>
    <xf numFmtId="0" fontId="17" fillId="33" borderId="0" xfId="18" applyFill="1" applyBorder="1" applyAlignment="1">
      <alignment horizontal="center" vertical="center" wrapText="1"/>
    </xf>
    <xf numFmtId="167" fontId="22" fillId="33" borderId="0" xfId="0" applyNumberFormat="1" applyFont="1" applyFill="1" applyAlignment="1">
      <alignment horizontal="center"/>
    </xf>
    <xf numFmtId="192" fontId="22" fillId="33" borderId="0" xfId="0" applyNumberFormat="1" applyFont="1" applyFill="1" applyAlignment="1">
      <alignment horizontal="center"/>
    </xf>
    <xf numFmtId="168" fontId="22" fillId="33" borderId="0" xfId="0" applyNumberFormat="1" applyFont="1" applyFill="1" applyAlignment="1">
      <alignment horizontal="center"/>
    </xf>
    <xf numFmtId="193" fontId="22" fillId="33" borderId="0" xfId="0" applyNumberFormat="1" applyFont="1" applyFill="1" applyAlignment="1">
      <alignment horizontal="center"/>
    </xf>
    <xf numFmtId="165" fontId="22" fillId="33" borderId="0" xfId="0" applyNumberFormat="1" applyFont="1" applyFill="1" applyAlignment="1">
      <alignment horizontal="center"/>
    </xf>
    <xf numFmtId="194" fontId="22" fillId="33" borderId="0" xfId="0" applyNumberFormat="1" applyFont="1" applyFill="1" applyAlignment="1">
      <alignment horizontal="center"/>
    </xf>
    <xf numFmtId="169" fontId="22" fillId="33" borderId="0" xfId="0" applyNumberFormat="1" applyFont="1" applyFill="1" applyAlignment="1">
      <alignment horizontal="center"/>
    </xf>
    <xf numFmtId="195" fontId="22" fillId="33" borderId="0" xfId="0" applyNumberFormat="1" applyFont="1" applyFill="1" applyAlignment="1">
      <alignment horizontal="center"/>
    </xf>
    <xf numFmtId="170" fontId="22" fillId="33" borderId="0" xfId="0" applyNumberFormat="1" applyFont="1" applyFill="1" applyAlignment="1">
      <alignment horizontal="center"/>
    </xf>
    <xf numFmtId="196" fontId="22" fillId="33" borderId="0" xfId="0" applyNumberFormat="1" applyFont="1" applyFill="1" applyAlignment="1">
      <alignment horizontal="center"/>
    </xf>
    <xf numFmtId="171" fontId="22" fillId="33" borderId="0" xfId="0" applyNumberFormat="1" applyFont="1" applyFill="1" applyAlignment="1">
      <alignment horizontal="center"/>
    </xf>
    <xf numFmtId="197" fontId="22" fillId="33" borderId="0" xfId="0" applyNumberFormat="1" applyFont="1" applyFill="1" applyAlignment="1">
      <alignment horizontal="center"/>
    </xf>
    <xf numFmtId="172" fontId="22" fillId="33" borderId="0" xfId="0" applyNumberFormat="1" applyFont="1" applyFill="1" applyAlignment="1">
      <alignment horizontal="center"/>
    </xf>
    <xf numFmtId="198" fontId="22" fillId="33" borderId="0" xfId="0" applyNumberFormat="1" applyFont="1" applyFill="1" applyAlignment="1">
      <alignment horizontal="center"/>
    </xf>
    <xf numFmtId="0" fontId="20" fillId="33" borderId="0" xfId="0" applyFont="1" applyFill="1" applyAlignment="1">
      <alignment horizontal="center"/>
    </xf>
    <xf numFmtId="199" fontId="22" fillId="33" borderId="0" xfId="0" applyNumberFormat="1" applyFont="1" applyFill="1" applyAlignment="1">
      <alignment horizontal="center"/>
    </xf>
    <xf numFmtId="173" fontId="22" fillId="33" borderId="0" xfId="0" applyNumberFormat="1" applyFont="1" applyFill="1" applyAlignment="1">
      <alignment horizontal="center"/>
    </xf>
    <xf numFmtId="200" fontId="22" fillId="33" borderId="0" xfId="0" applyNumberFormat="1" applyFont="1" applyFill="1" applyAlignment="1">
      <alignment horizontal="center"/>
    </xf>
    <xf numFmtId="174" fontId="22" fillId="33" borderId="0" xfId="0" applyNumberFormat="1" applyFont="1" applyFill="1" applyAlignment="1">
      <alignment horizontal="center"/>
    </xf>
    <xf numFmtId="201" fontId="22" fillId="33" borderId="0" xfId="0" applyNumberFormat="1" applyFont="1" applyFill="1" applyAlignment="1">
      <alignment horizontal="center"/>
    </xf>
    <xf numFmtId="175" fontId="22" fillId="33" borderId="0" xfId="0" applyNumberFormat="1" applyFont="1" applyFill="1" applyAlignment="1">
      <alignment horizontal="center"/>
    </xf>
    <xf numFmtId="202" fontId="22" fillId="33" borderId="0" xfId="0" applyNumberFormat="1" applyFont="1" applyFill="1" applyAlignment="1">
      <alignment horizontal="center"/>
    </xf>
    <xf numFmtId="176" fontId="22" fillId="33" borderId="0" xfId="0" applyNumberFormat="1" applyFont="1" applyFill="1" applyAlignment="1">
      <alignment horizontal="center"/>
    </xf>
    <xf numFmtId="203" fontId="22" fillId="33" borderId="0" xfId="0" applyNumberFormat="1" applyFont="1" applyFill="1" applyAlignment="1">
      <alignment horizontal="center"/>
    </xf>
    <xf numFmtId="178" fontId="22" fillId="33" borderId="0" xfId="0" applyNumberFormat="1" applyFont="1" applyFill="1" applyAlignment="1">
      <alignment horizontal="center"/>
    </xf>
    <xf numFmtId="204" fontId="22" fillId="33" borderId="0" xfId="0" applyNumberFormat="1" applyFont="1" applyFill="1" applyAlignment="1">
      <alignment horizontal="center"/>
    </xf>
    <xf numFmtId="179" fontId="22" fillId="33" borderId="0" xfId="0" applyNumberFormat="1" applyFont="1" applyFill="1" applyAlignment="1">
      <alignment horizontal="center"/>
    </xf>
    <xf numFmtId="205" fontId="22" fillId="33" borderId="0" xfId="0" applyNumberFormat="1" applyFont="1" applyFill="1" applyAlignment="1">
      <alignment horizontal="center"/>
    </xf>
    <xf numFmtId="177" fontId="22" fillId="33" borderId="0" xfId="0" applyNumberFormat="1" applyFont="1" applyFill="1" applyAlignment="1">
      <alignment horizontal="center"/>
    </xf>
    <xf numFmtId="206" fontId="22" fillId="33" borderId="0" xfId="0" applyNumberFormat="1" applyFont="1" applyFill="1" applyAlignment="1">
      <alignment horizontal="center"/>
    </xf>
    <xf numFmtId="207" fontId="22" fillId="33" borderId="0" xfId="0" applyNumberFormat="1" applyFont="1" applyFill="1" applyAlignment="1">
      <alignment horizontal="center"/>
    </xf>
    <xf numFmtId="180" fontId="22" fillId="33" borderId="0" xfId="0" applyNumberFormat="1" applyFont="1" applyFill="1" applyAlignment="1">
      <alignment horizontal="center"/>
    </xf>
    <xf numFmtId="208" fontId="22" fillId="33" borderId="0" xfId="0" applyNumberFormat="1" applyFont="1" applyFill="1" applyAlignment="1">
      <alignment horizontal="center"/>
    </xf>
    <xf numFmtId="181" fontId="22" fillId="33" borderId="0" xfId="0" applyNumberFormat="1" applyFont="1" applyFill="1" applyAlignment="1">
      <alignment horizontal="center"/>
    </xf>
    <xf numFmtId="209" fontId="22" fillId="33" borderId="0" xfId="0" applyNumberFormat="1" applyFont="1" applyFill="1" applyAlignment="1">
      <alignment horizontal="center"/>
    </xf>
    <xf numFmtId="182" fontId="22" fillId="33" borderId="0" xfId="0" applyNumberFormat="1" applyFont="1" applyFill="1" applyAlignment="1">
      <alignment horizontal="center"/>
    </xf>
    <xf numFmtId="210" fontId="22" fillId="33" borderId="0" xfId="0" applyNumberFormat="1" applyFont="1" applyFill="1" applyAlignment="1">
      <alignment horizontal="center"/>
    </xf>
    <xf numFmtId="183" fontId="22" fillId="33" borderId="0" xfId="0" applyNumberFormat="1" applyFont="1" applyFill="1" applyAlignment="1">
      <alignment horizontal="center"/>
    </xf>
    <xf numFmtId="211" fontId="22" fillId="33" borderId="0" xfId="0" applyNumberFormat="1" applyFont="1" applyFill="1" applyAlignment="1">
      <alignment horizontal="center"/>
    </xf>
    <xf numFmtId="184" fontId="22" fillId="33" borderId="0" xfId="0" applyNumberFormat="1" applyFont="1" applyFill="1" applyAlignment="1">
      <alignment horizontal="center"/>
    </xf>
    <xf numFmtId="212" fontId="22" fillId="33" borderId="0" xfId="0" applyNumberFormat="1" applyFont="1" applyFill="1" applyAlignment="1">
      <alignment horizontal="center"/>
    </xf>
    <xf numFmtId="164" fontId="17" fillId="33" borderId="0" xfId="43" applyNumberFormat="1" applyFont="1" applyFill="1" applyBorder="1" applyAlignment="1">
      <alignment vertical="center" wrapText="1"/>
    </xf>
    <xf numFmtId="185" fontId="22" fillId="33" borderId="0" xfId="0" applyNumberFormat="1" applyFont="1" applyFill="1" applyAlignment="1">
      <alignment horizontal="center"/>
    </xf>
    <xf numFmtId="213" fontId="22" fillId="33" borderId="0" xfId="0" applyNumberFormat="1" applyFont="1" applyFill="1" applyAlignment="1">
      <alignment horizontal="center"/>
    </xf>
    <xf numFmtId="186" fontId="22" fillId="33" borderId="0" xfId="0" applyNumberFormat="1" applyFont="1" applyFill="1" applyAlignment="1">
      <alignment horizontal="center"/>
    </xf>
    <xf numFmtId="214" fontId="22" fillId="33" borderId="0" xfId="0" applyNumberFormat="1" applyFont="1" applyFill="1" applyAlignment="1">
      <alignment horizontal="center"/>
    </xf>
    <xf numFmtId="187" fontId="22" fillId="33" borderId="0" xfId="0" applyNumberFormat="1" applyFont="1" applyFill="1" applyAlignment="1">
      <alignment horizontal="center"/>
    </xf>
    <xf numFmtId="215" fontId="22" fillId="33" borderId="0" xfId="0" applyNumberFormat="1" applyFont="1" applyFill="1" applyAlignment="1">
      <alignment horizontal="center"/>
    </xf>
    <xf numFmtId="0" fontId="13" fillId="33" borderId="0" xfId="0" applyFont="1" applyFill="1"/>
    <xf numFmtId="188" fontId="22" fillId="33" borderId="0" xfId="0" applyNumberFormat="1" applyFont="1" applyFill="1" applyAlignment="1">
      <alignment horizontal="center"/>
    </xf>
    <xf numFmtId="216" fontId="22" fillId="33" borderId="0" xfId="0" applyNumberFormat="1" applyFont="1" applyFill="1" applyAlignment="1">
      <alignment horizontal="center"/>
    </xf>
    <xf numFmtId="9" fontId="17" fillId="33" borderId="0" xfId="0" applyNumberFormat="1" applyFont="1" applyFill="1" applyAlignment="1">
      <alignment horizontal="center"/>
    </xf>
    <xf numFmtId="189" fontId="22" fillId="33" borderId="0" xfId="0" applyNumberFormat="1" applyFont="1" applyFill="1" applyAlignment="1">
      <alignment horizontal="center"/>
    </xf>
    <xf numFmtId="217" fontId="22" fillId="33" borderId="0" xfId="0" applyNumberFormat="1" applyFont="1" applyFill="1" applyAlignment="1">
      <alignment horizontal="center"/>
    </xf>
    <xf numFmtId="190" fontId="22" fillId="33" borderId="0" xfId="0" applyNumberFormat="1" applyFont="1" applyFill="1" applyAlignment="1">
      <alignment horizontal="center"/>
    </xf>
    <xf numFmtId="218" fontId="22" fillId="33" borderId="0" xfId="0" applyNumberFormat="1" applyFont="1" applyFill="1" applyAlignment="1">
      <alignment horizontal="center"/>
    </xf>
    <xf numFmtId="9" fontId="17" fillId="33" borderId="0" xfId="0" applyNumberFormat="1" applyFont="1" applyFill="1"/>
    <xf numFmtId="0" fontId="13" fillId="33" borderId="0" xfId="18" applyFont="1" applyFill="1" applyBorder="1" applyAlignment="1">
      <alignment horizontal="left" vertical="center" wrapText="1"/>
    </xf>
    <xf numFmtId="0" fontId="13" fillId="33" borderId="0" xfId="18" applyFont="1" applyFill="1" applyBorder="1" applyAlignment="1">
      <alignment horizontal="center" vertical="center" wrapText="1"/>
    </xf>
    <xf numFmtId="9" fontId="17" fillId="33" borderId="0" xfId="43" applyFont="1" applyFill="1" applyBorder="1" applyAlignment="1">
      <alignment horizontal="center"/>
    </xf>
    <xf numFmtId="0" fontId="13" fillId="33" borderId="0" xfId="0" applyFont="1" applyFill="1" applyAlignment="1">
      <alignment horizontal="center"/>
    </xf>
    <xf numFmtId="0" fontId="24" fillId="33" borderId="0" xfId="1" applyFont="1" applyFill="1" applyBorder="1"/>
    <xf numFmtId="0" fontId="25" fillId="33" borderId="0" xfId="0" applyFont="1" applyFill="1"/>
    <xf numFmtId="0" fontId="25" fillId="33" borderId="0" xfId="0" applyFont="1" applyFill="1" applyAlignment="1">
      <alignment vertical="center" wrapText="1"/>
    </xf>
    <xf numFmtId="0" fontId="26" fillId="33" borderId="0" xfId="0" applyFont="1" applyFill="1"/>
    <xf numFmtId="0" fontId="27" fillId="33" borderId="0" xfId="42" applyFont="1" applyFill="1" applyBorder="1"/>
    <xf numFmtId="0" fontId="28" fillId="33" borderId="0" xfId="5" applyFont="1" applyFill="1" applyBorder="1" applyAlignment="1">
      <alignment vertical="center"/>
    </xf>
    <xf numFmtId="9" fontId="29" fillId="33" borderId="0" xfId="43" applyFont="1" applyFill="1" applyBorder="1" applyAlignment="1">
      <alignment horizontal="left" vertical="center" wrapText="1"/>
    </xf>
    <xf numFmtId="0" fontId="22" fillId="33" borderId="0" xfId="0" applyFont="1" applyFill="1"/>
    <xf numFmtId="0" fontId="30" fillId="33" borderId="0" xfId="0" applyFont="1" applyFill="1"/>
    <xf numFmtId="0" fontId="21" fillId="33" borderId="0" xfId="0" applyFont="1" applyFill="1" applyAlignment="1">
      <alignment horizontal="center"/>
    </xf>
    <xf numFmtId="9" fontId="21" fillId="33" borderId="0" xfId="43" applyFont="1" applyFill="1" applyBorder="1"/>
    <xf numFmtId="9" fontId="21" fillId="33" borderId="0" xfId="43" applyFont="1" applyFill="1" applyBorder="1" applyAlignment="1"/>
    <xf numFmtId="0" fontId="21" fillId="33" borderId="0" xfId="43" applyNumberFormat="1" applyFont="1" applyFill="1" applyBorder="1"/>
    <xf numFmtId="9" fontId="17" fillId="33" borderId="0" xfId="43" applyFont="1" applyFill="1" applyBorder="1" applyAlignment="1">
      <alignment horizontal="center" vertical="center" wrapText="1"/>
    </xf>
    <xf numFmtId="219" fontId="17" fillId="33" borderId="0" xfId="0" applyNumberFormat="1" applyFont="1" applyFill="1" applyAlignment="1">
      <alignment horizontal="center"/>
    </xf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3" builtinId="5"/>
    <cellStyle name="Title" xfId="1" builtinId="15" customBuiltin="1"/>
    <cellStyle name="Total" xfId="17" builtinId="25" customBuiltin="1"/>
    <cellStyle name="Warning Text" xfId="14" builtinId="11" customBuiltin="1"/>
  </cellStyles>
  <dxfs count="11">
    <dxf>
      <font>
        <color theme="0"/>
      </font>
      <fill>
        <patternFill>
          <bgColor theme="4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107438</xdr:colOff>
      <xdr:row>2</xdr:row>
      <xdr:rowOff>168034</xdr:rowOff>
    </xdr:from>
    <xdr:to>
      <xdr:col>17</xdr:col>
      <xdr:colOff>136405</xdr:colOff>
      <xdr:row>26</xdr:row>
      <xdr:rowOff>53267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C18AF4BB-0CCE-4EE2-9F6E-20C08B4B79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62818" y="701434"/>
          <a:ext cx="4425707" cy="4274353"/>
        </a:xfrm>
        <a:prstGeom prst="rect">
          <a:avLst/>
        </a:prstGeom>
      </xdr:spPr>
    </xdr:pic>
    <xdr:clientData/>
  </xdr:twoCellAnchor>
  <xdr:twoCellAnchor editAs="absolute">
    <xdr:from>
      <xdr:col>13</xdr:col>
      <xdr:colOff>170418</xdr:colOff>
      <xdr:row>13</xdr:row>
      <xdr:rowOff>63479</xdr:rowOff>
    </xdr:from>
    <xdr:to>
      <xdr:col>13</xdr:col>
      <xdr:colOff>350418</xdr:colOff>
      <xdr:row>14</xdr:row>
      <xdr:rowOff>57070</xdr:rowOff>
    </xdr:to>
    <xdr:sp macro="[0]!WA" textlink="">
      <xdr:nvSpPr>
        <xdr:cNvPr id="9" name="Oval 8">
          <a:extLst>
            <a:ext uri="{FF2B5EF4-FFF2-40B4-BE49-F238E27FC236}">
              <a16:creationId xmlns:a16="http://schemas.microsoft.com/office/drawing/2014/main" id="{8BF50EA8-81DF-4117-B695-1294E1DBAA16}"/>
            </a:ext>
          </a:extLst>
        </xdr:cNvPr>
        <xdr:cNvSpPr/>
      </xdr:nvSpPr>
      <xdr:spPr>
        <a:xfrm>
          <a:off x="10044986" y="2644754"/>
          <a:ext cx="180000" cy="179329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absolute">
    <xdr:from>
      <xdr:col>14</xdr:col>
      <xdr:colOff>726269</xdr:colOff>
      <xdr:row>9</xdr:row>
      <xdr:rowOff>180427</xdr:rowOff>
    </xdr:from>
    <xdr:to>
      <xdr:col>14</xdr:col>
      <xdr:colOff>906269</xdr:colOff>
      <xdr:row>10</xdr:row>
      <xdr:rowOff>175193</xdr:rowOff>
    </xdr:to>
    <xdr:sp macro="[0]!NT" textlink="">
      <xdr:nvSpPr>
        <xdr:cNvPr id="16" name="Oval 15">
          <a:extLst>
            <a:ext uri="{FF2B5EF4-FFF2-40B4-BE49-F238E27FC236}">
              <a16:creationId xmlns:a16="http://schemas.microsoft.com/office/drawing/2014/main" id="{E9EDE49B-AF31-476F-B3AF-AF76D67457C7}"/>
            </a:ext>
          </a:extLst>
        </xdr:cNvPr>
        <xdr:cNvSpPr/>
      </xdr:nvSpPr>
      <xdr:spPr>
        <a:xfrm>
          <a:off x="10959929" y="1993987"/>
          <a:ext cx="180000" cy="177646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15</xdr:col>
      <xdr:colOff>766846</xdr:colOff>
      <xdr:row>16</xdr:row>
      <xdr:rowOff>155726</xdr:rowOff>
    </xdr:from>
    <xdr:to>
      <xdr:col>15</xdr:col>
      <xdr:colOff>946846</xdr:colOff>
      <xdr:row>17</xdr:row>
      <xdr:rowOff>149989</xdr:rowOff>
    </xdr:to>
    <xdr:sp macro="[0]!NSW" textlink="">
      <xdr:nvSpPr>
        <xdr:cNvPr id="17" name="Oval 16">
          <a:extLst>
            <a:ext uri="{FF2B5EF4-FFF2-40B4-BE49-F238E27FC236}">
              <a16:creationId xmlns:a16="http://schemas.microsoft.com/office/drawing/2014/main" id="{736D3AAC-B6A2-4520-A727-BDD526AA0014}"/>
            </a:ext>
          </a:extLst>
        </xdr:cNvPr>
        <xdr:cNvSpPr/>
      </xdr:nvSpPr>
      <xdr:spPr>
        <a:xfrm>
          <a:off x="12541651" y="3294214"/>
          <a:ext cx="180000" cy="180000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15</xdr:col>
      <xdr:colOff>770390</xdr:colOff>
      <xdr:row>9</xdr:row>
      <xdr:rowOff>171877</xdr:rowOff>
    </xdr:from>
    <xdr:to>
      <xdr:col>15</xdr:col>
      <xdr:colOff>949120</xdr:colOff>
      <xdr:row>10</xdr:row>
      <xdr:rowOff>166643</xdr:rowOff>
    </xdr:to>
    <xdr:sp macro="[0]!OLD" textlink="">
      <xdr:nvSpPr>
        <xdr:cNvPr id="18" name="Oval 17">
          <a:extLst>
            <a:ext uri="{FF2B5EF4-FFF2-40B4-BE49-F238E27FC236}">
              <a16:creationId xmlns:a16="http://schemas.microsoft.com/office/drawing/2014/main" id="{04A65E44-79DA-4716-B78D-F09FE2E7D116}"/>
            </a:ext>
          </a:extLst>
        </xdr:cNvPr>
        <xdr:cNvSpPr/>
      </xdr:nvSpPr>
      <xdr:spPr>
        <a:xfrm>
          <a:off x="12545195" y="2010202"/>
          <a:ext cx="178730" cy="180504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14</xdr:col>
      <xdr:colOff>885892</xdr:colOff>
      <xdr:row>15</xdr:row>
      <xdr:rowOff>117370</xdr:rowOff>
    </xdr:from>
    <xdr:to>
      <xdr:col>14</xdr:col>
      <xdr:colOff>1065892</xdr:colOff>
      <xdr:row>16</xdr:row>
      <xdr:rowOff>111632</xdr:rowOff>
    </xdr:to>
    <xdr:sp macro="[0]!SA" textlink="">
      <xdr:nvSpPr>
        <xdr:cNvPr id="19" name="Oval 18">
          <a:extLst>
            <a:ext uri="{FF2B5EF4-FFF2-40B4-BE49-F238E27FC236}">
              <a16:creationId xmlns:a16="http://schemas.microsoft.com/office/drawing/2014/main" id="{68499301-25A0-4650-99A0-1706A961959B}"/>
            </a:ext>
          </a:extLst>
        </xdr:cNvPr>
        <xdr:cNvSpPr/>
      </xdr:nvSpPr>
      <xdr:spPr>
        <a:xfrm>
          <a:off x="11527222" y="3070120"/>
          <a:ext cx="180000" cy="180000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16</xdr:col>
      <xdr:colOff>79537</xdr:colOff>
      <xdr:row>19</xdr:row>
      <xdr:rowOff>61532</xdr:rowOff>
    </xdr:from>
    <xdr:to>
      <xdr:col>16</xdr:col>
      <xdr:colOff>259271</xdr:colOff>
      <xdr:row>20</xdr:row>
      <xdr:rowOff>54529</xdr:rowOff>
    </xdr:to>
    <xdr:sp macro="[0]!ACT" textlink="">
      <xdr:nvSpPr>
        <xdr:cNvPr id="20" name="Oval 19">
          <a:extLst>
            <a:ext uri="{FF2B5EF4-FFF2-40B4-BE49-F238E27FC236}">
              <a16:creationId xmlns:a16="http://schemas.microsoft.com/office/drawing/2014/main" id="{80EB8275-EF04-4451-B04E-4EDE120F3C7D}"/>
            </a:ext>
          </a:extLst>
        </xdr:cNvPr>
        <xdr:cNvSpPr/>
      </xdr:nvSpPr>
      <xdr:spPr>
        <a:xfrm>
          <a:off x="12987817" y="3757232"/>
          <a:ext cx="179734" cy="178735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15</xdr:col>
      <xdr:colOff>770117</xdr:colOff>
      <xdr:row>20</xdr:row>
      <xdr:rowOff>161379</xdr:rowOff>
    </xdr:from>
    <xdr:to>
      <xdr:col>15</xdr:col>
      <xdr:colOff>950117</xdr:colOff>
      <xdr:row>21</xdr:row>
      <xdr:rowOff>156914</xdr:rowOff>
    </xdr:to>
    <xdr:sp macro="[0]!VIC" textlink="">
      <xdr:nvSpPr>
        <xdr:cNvPr id="21" name="Oval 20">
          <a:extLst>
            <a:ext uri="{FF2B5EF4-FFF2-40B4-BE49-F238E27FC236}">
              <a16:creationId xmlns:a16="http://schemas.microsoft.com/office/drawing/2014/main" id="{CCBBA96F-66BB-46DE-B016-8780C5543319}"/>
            </a:ext>
          </a:extLst>
        </xdr:cNvPr>
        <xdr:cNvSpPr/>
      </xdr:nvSpPr>
      <xdr:spPr>
        <a:xfrm>
          <a:off x="12544922" y="4042817"/>
          <a:ext cx="180000" cy="181272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15</xdr:col>
      <xdr:colOff>893042</xdr:colOff>
      <xdr:row>24</xdr:row>
      <xdr:rowOff>47229</xdr:rowOff>
    </xdr:from>
    <xdr:to>
      <xdr:col>15</xdr:col>
      <xdr:colOff>1073042</xdr:colOff>
      <xdr:row>25</xdr:row>
      <xdr:rowOff>41492</xdr:rowOff>
    </xdr:to>
    <xdr:sp macro="[0]!TAS" textlink="">
      <xdr:nvSpPr>
        <xdr:cNvPr id="22" name="Oval 21">
          <a:extLst>
            <a:ext uri="{FF2B5EF4-FFF2-40B4-BE49-F238E27FC236}">
              <a16:creationId xmlns:a16="http://schemas.microsoft.com/office/drawing/2014/main" id="{710D2AA7-271B-4E1C-999D-BFCC982C3AE3}"/>
            </a:ext>
          </a:extLst>
        </xdr:cNvPr>
        <xdr:cNvSpPr>
          <a:spLocks noChangeAspect="1"/>
        </xdr:cNvSpPr>
      </xdr:nvSpPr>
      <xdr:spPr>
        <a:xfrm>
          <a:off x="12667847" y="4671617"/>
          <a:ext cx="180000" cy="180000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434340</xdr:colOff>
      <xdr:row>24</xdr:row>
      <xdr:rowOff>72390</xdr:rowOff>
    </xdr:from>
    <xdr:to>
      <xdr:col>15</xdr:col>
      <xdr:colOff>424680</xdr:colOff>
      <xdr:row>26</xdr:row>
      <xdr:rowOff>66630</xdr:rowOff>
    </xdr:to>
    <xdr:sp macro="" textlink="$O$1">
      <xdr:nvSpPr>
        <xdr:cNvPr id="3" name="Flowchart: Terminator 2">
          <a:extLst>
            <a:ext uri="{FF2B5EF4-FFF2-40B4-BE49-F238E27FC236}">
              <a16:creationId xmlns:a16="http://schemas.microsoft.com/office/drawing/2014/main" id="{AB6BD0C8-E784-F560-EE70-57D8364075CF}"/>
            </a:ext>
          </a:extLst>
        </xdr:cNvPr>
        <xdr:cNvSpPr/>
      </xdr:nvSpPr>
      <xdr:spPr>
        <a:xfrm>
          <a:off x="10668000" y="4629150"/>
          <a:ext cx="1080000" cy="360000"/>
        </a:xfrm>
        <a:prstGeom prst="flowChartTerminator">
          <a:avLst/>
        </a:prstGeom>
        <a:ln>
          <a:solidFill>
            <a:schemeClr val="bg1"/>
          </a:solidFill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BB8C93C-1543-4FFE-B163-3C6AC107FD2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47%</a:t>
          </a:fld>
          <a:endParaRPr lang="en-IN" sz="1100"/>
        </a:p>
      </xdr:txBody>
    </xdr:sp>
    <xdr:clientData/>
  </xdr:twoCellAnchor>
  <xdr:twoCellAnchor>
    <xdr:from>
      <xdr:col>10</xdr:col>
      <xdr:colOff>624840</xdr:colOff>
      <xdr:row>24</xdr:row>
      <xdr:rowOff>72390</xdr:rowOff>
    </xdr:from>
    <xdr:to>
      <xdr:col>12</xdr:col>
      <xdr:colOff>676140</xdr:colOff>
      <xdr:row>26</xdr:row>
      <xdr:rowOff>66630</xdr:rowOff>
    </xdr:to>
    <xdr:sp macro="" textlink="$M$1">
      <xdr:nvSpPr>
        <xdr:cNvPr id="6" name="Flowchart: Terminator 5">
          <a:extLst>
            <a:ext uri="{FF2B5EF4-FFF2-40B4-BE49-F238E27FC236}">
              <a16:creationId xmlns:a16="http://schemas.microsoft.com/office/drawing/2014/main" id="{055028A8-5837-4E2F-BA60-D3DDEBDACB80}"/>
            </a:ext>
          </a:extLst>
        </xdr:cNvPr>
        <xdr:cNvSpPr/>
      </xdr:nvSpPr>
      <xdr:spPr>
        <a:xfrm>
          <a:off x="8351520" y="4629150"/>
          <a:ext cx="1080000" cy="360000"/>
        </a:xfrm>
        <a:prstGeom prst="flowChartTerminator">
          <a:avLst/>
        </a:prstGeom>
        <a:ln>
          <a:solidFill>
            <a:schemeClr val="bg1"/>
          </a:solidFill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A52BE404-26D9-4547-BEDE-3F340CC8ACD7}" type="TxLink">
            <a:rPr lang="en-US" sz="1100" b="0" i="0" u="none" strike="noStrike">
              <a:solidFill>
                <a:srgbClr val="808080"/>
              </a:solidFill>
              <a:latin typeface="Calibri"/>
              <a:ea typeface="Calibri"/>
              <a:cs typeface="Calibri"/>
            </a:rPr>
            <a:pPr algn="ctr"/>
            <a:t>4%</a:t>
          </a:fld>
          <a:endParaRPr lang="en-IN" sz="1100"/>
        </a:p>
      </xdr:txBody>
    </xdr:sp>
    <xdr:clientData/>
  </xdr:twoCellAnchor>
  <xdr:twoCellAnchor>
    <xdr:from>
      <xdr:col>13</xdr:col>
      <xdr:colOff>15240</xdr:colOff>
      <xdr:row>24</xdr:row>
      <xdr:rowOff>72390</xdr:rowOff>
    </xdr:from>
    <xdr:to>
      <xdr:col>14</xdr:col>
      <xdr:colOff>356100</xdr:colOff>
      <xdr:row>26</xdr:row>
      <xdr:rowOff>66630</xdr:rowOff>
    </xdr:to>
    <xdr:sp macro="" textlink="$N$1">
      <xdr:nvSpPr>
        <xdr:cNvPr id="7" name="Flowchart: Terminator 6">
          <a:extLst>
            <a:ext uri="{FF2B5EF4-FFF2-40B4-BE49-F238E27FC236}">
              <a16:creationId xmlns:a16="http://schemas.microsoft.com/office/drawing/2014/main" id="{7D3DFFAB-6FAA-4F19-8535-1BE41F960E84}"/>
            </a:ext>
          </a:extLst>
        </xdr:cNvPr>
        <xdr:cNvSpPr/>
      </xdr:nvSpPr>
      <xdr:spPr>
        <a:xfrm>
          <a:off x="9509760" y="4629150"/>
          <a:ext cx="1080000" cy="360000"/>
        </a:xfrm>
        <a:prstGeom prst="flowChartTerminator">
          <a:avLst/>
        </a:prstGeom>
        <a:ln>
          <a:solidFill>
            <a:schemeClr val="bg1"/>
          </a:solidFill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BEF4A849-488D-4122-867E-7FEF5A268CC4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49%</a:t>
          </a:fld>
          <a:endParaRPr lang="en-IN" sz="1100"/>
        </a:p>
      </xdr:txBody>
    </xdr:sp>
    <xdr:clientData/>
  </xdr:twoCellAnchor>
  <xdr:twoCellAnchor editAs="oneCell">
    <xdr:from>
      <xdr:col>15</xdr:col>
      <xdr:colOff>36900</xdr:colOff>
      <xdr:row>23</xdr:row>
      <xdr:rowOff>58560</xdr:rowOff>
    </xdr:from>
    <xdr:to>
      <xdr:col>15</xdr:col>
      <xdr:colOff>468900</xdr:colOff>
      <xdr:row>25</xdr:row>
      <xdr:rowOff>124800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2F7869B9-DDB7-544D-2E4B-85F36EF954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60220" y="4432440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12</xdr:col>
      <xdr:colOff>303600</xdr:colOff>
      <xdr:row>23</xdr:row>
      <xdr:rowOff>58560</xdr:rowOff>
    </xdr:from>
    <xdr:to>
      <xdr:col>12</xdr:col>
      <xdr:colOff>735600</xdr:colOff>
      <xdr:row>25</xdr:row>
      <xdr:rowOff>124800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3B1899E3-9DFC-0DFC-84C1-21FA45C297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980" y="4432440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715080</xdr:colOff>
      <xdr:row>23</xdr:row>
      <xdr:rowOff>58560</xdr:rowOff>
    </xdr:from>
    <xdr:to>
      <xdr:col>14</xdr:col>
      <xdr:colOff>407940</xdr:colOff>
      <xdr:row>25</xdr:row>
      <xdr:rowOff>124800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4EA9A815-E570-34F6-9E7D-DF945C8B06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09600" y="4432440"/>
          <a:ext cx="432000" cy="432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Blue">
      <a:dk1>
        <a:sysClr val="windowText" lastClr="000000"/>
      </a:dk1>
      <a:lt1>
        <a:sysClr val="window" lastClr="FFFFFF"/>
      </a:lt1>
      <a:dk2>
        <a:srgbClr val="17406D"/>
      </a:dk2>
      <a:lt2>
        <a:srgbClr val="DBEFF9"/>
      </a:lt2>
      <a:accent1>
        <a:srgbClr val="0F6FC6"/>
      </a:accent1>
      <a:accent2>
        <a:srgbClr val="009DD9"/>
      </a:accent2>
      <a:accent3>
        <a:srgbClr val="0BD0D9"/>
      </a:accent3>
      <a:accent4>
        <a:srgbClr val="10CF9B"/>
      </a:accent4>
      <a:accent5>
        <a:srgbClr val="7CCA62"/>
      </a:accent5>
      <a:accent6>
        <a:srgbClr val="A5C249"/>
      </a:accent6>
      <a:hlink>
        <a:srgbClr val="F49100"/>
      </a:hlink>
      <a:folHlink>
        <a:srgbClr val="85DFD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environment.gov.au/system/files/resources/7381c1de-31d0-429b-912c-91a6dbc83af7/files/national-waste-report-2018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0DAAB3-D380-4A7D-BECF-F4CFB3E1F875}">
  <sheetPr codeName="Sheet19"/>
  <dimension ref="A1:U63"/>
  <sheetViews>
    <sheetView tabSelected="1" topLeftCell="B1" zoomScaleNormal="100" workbookViewId="0">
      <selection activeCell="B4" sqref="B4"/>
    </sheetView>
  </sheetViews>
  <sheetFormatPr defaultColWidth="9.109375" defaultRowHeight="14.7" customHeight="1" x14ac:dyDescent="0.3"/>
  <cols>
    <col min="1" max="1" width="1.21875" style="6" customWidth="1"/>
    <col min="2" max="2" width="14.109375" style="76" customWidth="1"/>
    <col min="3" max="9" width="13.109375" style="2" customWidth="1"/>
    <col min="10" max="10" width="5.5546875" style="4" customWidth="1"/>
    <col min="11" max="11" width="11.21875" style="2" customWidth="1"/>
    <col min="12" max="12" width="3.77734375" style="1" customWidth="1"/>
    <col min="13" max="14" width="10.77734375" style="1" customWidth="1"/>
    <col min="15" max="16" width="15.88671875" style="1" customWidth="1"/>
    <col min="17" max="19" width="10.77734375" style="1" customWidth="1"/>
    <col min="20" max="21" width="10.77734375" style="10" hidden="1" customWidth="1"/>
    <col min="22" max="24" width="10.77734375" style="1" customWidth="1"/>
    <col min="25" max="28" width="6.77734375" style="1" customWidth="1"/>
    <col min="29" max="16384" width="9.109375" style="1"/>
  </cols>
  <sheetData>
    <row r="1" spans="1:21" s="8" customFormat="1" ht="28.05" customHeight="1" x14ac:dyDescent="0.45">
      <c r="A1" s="6"/>
      <c r="B1" s="75" t="s">
        <v>73</v>
      </c>
      <c r="C1" s="2"/>
      <c r="D1" s="2"/>
      <c r="E1" s="2"/>
      <c r="F1" s="2"/>
      <c r="G1" s="2"/>
      <c r="H1" s="2"/>
      <c r="I1" s="7"/>
      <c r="J1" s="73"/>
      <c r="K1" s="84" t="s">
        <v>11</v>
      </c>
      <c r="L1" s="6"/>
      <c r="M1" s="85">
        <f>VLOOKUP(K1,B29:E36,2,0)</f>
        <v>0.04</v>
      </c>
      <c r="N1" s="86">
        <f>VLOOKUP(K1,B29:E36,3,0)</f>
        <v>0.49</v>
      </c>
      <c r="O1" s="85">
        <f>VLOOKUP(K1,B29:E36,4,0)</f>
        <v>0.47</v>
      </c>
      <c r="P1" s="87"/>
      <c r="Q1" s="83"/>
      <c r="T1" s="9"/>
      <c r="U1" s="9"/>
    </row>
    <row r="2" spans="1:21" ht="14.7" customHeight="1" x14ac:dyDescent="0.3">
      <c r="I2" s="82"/>
      <c r="M2" s="2"/>
      <c r="O2" s="2"/>
    </row>
    <row r="3" spans="1:21" ht="14.7" customHeight="1" x14ac:dyDescent="0.3">
      <c r="B3" s="80" t="s">
        <v>8</v>
      </c>
      <c r="I3" s="82" t="s">
        <v>74</v>
      </c>
      <c r="M3" s="2"/>
      <c r="N3" s="2"/>
      <c r="O3" s="2"/>
      <c r="T3" s="11" t="s">
        <v>17</v>
      </c>
      <c r="U3" s="12" t="s">
        <v>45</v>
      </c>
    </row>
    <row r="4" spans="1:21" ht="14.7" customHeight="1" x14ac:dyDescent="0.3">
      <c r="B4" s="71" t="s">
        <v>9</v>
      </c>
      <c r="C4" s="72">
        <v>2007</v>
      </c>
      <c r="D4" s="72">
        <v>2009</v>
      </c>
      <c r="E4" s="72">
        <v>2011</v>
      </c>
      <c r="F4" s="72">
        <v>2013</v>
      </c>
      <c r="G4" s="72">
        <v>2015</v>
      </c>
      <c r="H4" s="72">
        <v>2017</v>
      </c>
      <c r="I4" s="72" t="s">
        <v>0</v>
      </c>
      <c r="J4" s="13"/>
      <c r="K4" s="13"/>
      <c r="T4" s="14" t="s">
        <v>18</v>
      </c>
      <c r="U4" s="15" t="s">
        <v>46</v>
      </c>
    </row>
    <row r="5" spans="1:21" ht="14.7" customHeight="1" x14ac:dyDescent="0.3">
      <c r="B5" s="77" t="s">
        <v>1</v>
      </c>
      <c r="C5" s="5">
        <v>2.0828402366863905</v>
      </c>
      <c r="D5" s="5">
        <v>2.0398860398860399</v>
      </c>
      <c r="E5" s="5">
        <v>2.4438356164383563</v>
      </c>
      <c r="F5" s="5">
        <v>1.8091603053435115</v>
      </c>
      <c r="G5" s="5">
        <v>2.1825000000000001</v>
      </c>
      <c r="H5" s="5">
        <v>2.3177339901477834</v>
      </c>
      <c r="I5" s="3">
        <f t="shared" ref="I5:I12" si="0">(H5/C5)^(1/10)-1</f>
        <v>1.0743048481739459E-2</v>
      </c>
      <c r="J5" s="89">
        <f>I5</f>
        <v>1.0743048481739459E-2</v>
      </c>
      <c r="K5" s="13"/>
      <c r="T5" s="16" t="s">
        <v>19</v>
      </c>
      <c r="U5" s="17" t="s">
        <v>47</v>
      </c>
    </row>
    <row r="6" spans="1:21" ht="14.7" customHeight="1" x14ac:dyDescent="0.3">
      <c r="B6" s="77" t="s">
        <v>2</v>
      </c>
      <c r="C6" s="5">
        <v>2.3376068376068377</v>
      </c>
      <c r="D6" s="5">
        <v>2.6406740931162527</v>
      </c>
      <c r="E6" s="5">
        <v>2.4350974930362117</v>
      </c>
      <c r="F6" s="5">
        <v>2.3359302786214182</v>
      </c>
      <c r="G6" s="5">
        <v>2.3366749121208175</v>
      </c>
      <c r="H6" s="5">
        <v>2.319312644267761</v>
      </c>
      <c r="I6" s="3">
        <f t="shared" si="0"/>
        <v>-7.8537336340878117E-4</v>
      </c>
      <c r="J6" s="89">
        <f t="shared" ref="J6:J12" si="1">I6</f>
        <v>-7.8537336340878117E-4</v>
      </c>
      <c r="K6" s="13"/>
      <c r="T6" s="18" t="s">
        <v>20</v>
      </c>
      <c r="U6" s="19" t="s">
        <v>48</v>
      </c>
    </row>
    <row r="7" spans="1:21" ht="14.7" customHeight="1" x14ac:dyDescent="0.3">
      <c r="B7" s="77" t="s">
        <v>3</v>
      </c>
      <c r="C7" s="5">
        <v>2.5023696682464456</v>
      </c>
      <c r="D7" s="5">
        <v>1.6771300448430493</v>
      </c>
      <c r="E7" s="5">
        <v>1.6130434782608696</v>
      </c>
      <c r="F7" s="5">
        <v>1.9506172839506173</v>
      </c>
      <c r="G7" s="5">
        <v>1.9959016393442623</v>
      </c>
      <c r="H7" s="5">
        <v>1.416326530612245</v>
      </c>
      <c r="I7" s="3">
        <f t="shared" si="0"/>
        <v>-5.5327675408438859E-2</v>
      </c>
      <c r="J7" s="89">
        <f t="shared" si="1"/>
        <v>-5.5327675408438859E-2</v>
      </c>
      <c r="K7" s="13"/>
      <c r="T7" s="20" t="s">
        <v>21</v>
      </c>
      <c r="U7" s="21" t="s">
        <v>49</v>
      </c>
    </row>
    <row r="8" spans="1:21" ht="14.7" customHeight="1" x14ac:dyDescent="0.3">
      <c r="B8" s="77" t="s">
        <v>10</v>
      </c>
      <c r="C8" s="5">
        <v>2.363412228796844</v>
      </c>
      <c r="D8" s="5">
        <v>2.2832086061739942</v>
      </c>
      <c r="E8" s="5">
        <v>2.0538652242506199</v>
      </c>
      <c r="F8" s="5">
        <v>2.2293288449400377</v>
      </c>
      <c r="G8" s="5">
        <v>2.1446083523789734</v>
      </c>
      <c r="H8" s="5">
        <v>2.3024160524160524</v>
      </c>
      <c r="I8" s="3">
        <f t="shared" si="0"/>
        <v>-2.6113250720505299E-3</v>
      </c>
      <c r="J8" s="89">
        <f t="shared" si="1"/>
        <v>-2.6113250720505299E-3</v>
      </c>
      <c r="K8" s="13"/>
      <c r="T8" s="22" t="s">
        <v>22</v>
      </c>
      <c r="U8" s="23" t="s">
        <v>50</v>
      </c>
    </row>
    <row r="9" spans="1:21" ht="14.7" customHeight="1" x14ac:dyDescent="0.3">
      <c r="B9" s="77" t="s">
        <v>4</v>
      </c>
      <c r="C9" s="5">
        <v>1.9955156950672646</v>
      </c>
      <c r="D9" s="5">
        <v>2.0775969962453065</v>
      </c>
      <c r="E9" s="5">
        <v>2.346813725490196</v>
      </c>
      <c r="F9" s="5">
        <v>2.2497048406139317</v>
      </c>
      <c r="G9" s="5">
        <v>2.3831282952548332</v>
      </c>
      <c r="H9" s="5">
        <v>2.3494467093768199</v>
      </c>
      <c r="I9" s="3">
        <f t="shared" si="0"/>
        <v>1.6461760604046694E-2</v>
      </c>
      <c r="J9" s="89">
        <f t="shared" si="1"/>
        <v>1.6461760604046694E-2</v>
      </c>
      <c r="K9" s="13"/>
      <c r="N9" s="10"/>
      <c r="O9" s="10"/>
      <c r="P9" s="10"/>
      <c r="Q9" s="10"/>
      <c r="T9" s="24" t="s">
        <v>23</v>
      </c>
      <c r="U9" s="25" t="s">
        <v>51</v>
      </c>
    </row>
    <row r="10" spans="1:21" ht="14.7" customHeight="1" x14ac:dyDescent="0.3">
      <c r="B10" s="77" t="s">
        <v>11</v>
      </c>
      <c r="C10" s="5">
        <v>1.6890243902439024</v>
      </c>
      <c r="D10" s="5">
        <v>1.5677290836653386</v>
      </c>
      <c r="E10" s="5">
        <v>1.8117647058823529</v>
      </c>
      <c r="F10" s="5">
        <v>1.811284046692607</v>
      </c>
      <c r="G10" s="5">
        <v>2.0658914728682172</v>
      </c>
      <c r="H10" s="5">
        <v>1.8073217726396917</v>
      </c>
      <c r="I10" s="3">
        <f t="shared" si="0"/>
        <v>6.7924635952900658E-3</v>
      </c>
      <c r="J10" s="89">
        <f t="shared" si="1"/>
        <v>6.7924635952900658E-3</v>
      </c>
      <c r="K10" s="13"/>
      <c r="N10" s="10"/>
      <c r="O10" s="4" t="s">
        <v>3</v>
      </c>
      <c r="P10" s="4" t="s">
        <v>10</v>
      </c>
      <c r="Q10" s="10"/>
      <c r="T10" s="26" t="s">
        <v>24</v>
      </c>
      <c r="U10" s="27" t="s">
        <v>52</v>
      </c>
    </row>
    <row r="11" spans="1:21" ht="14.7" customHeight="1" x14ac:dyDescent="0.3">
      <c r="B11" s="77" t="s">
        <v>12</v>
      </c>
      <c r="C11" s="5">
        <v>2.3683385579937304</v>
      </c>
      <c r="D11" s="5">
        <v>2.1680782985130813</v>
      </c>
      <c r="E11" s="5">
        <v>2.3957423580786026</v>
      </c>
      <c r="F11" s="5">
        <v>2.20465973851827</v>
      </c>
      <c r="G11" s="5">
        <v>2.1877664808133814</v>
      </c>
      <c r="H11" s="5">
        <v>2.1963484945547727</v>
      </c>
      <c r="I11" s="3">
        <f t="shared" si="0"/>
        <v>-7.5108984348842833E-3</v>
      </c>
      <c r="J11" s="89">
        <f t="shared" si="1"/>
        <v>-7.5108984348842833E-3</v>
      </c>
      <c r="K11" s="13"/>
      <c r="N11" s="10"/>
      <c r="O11" s="28"/>
      <c r="P11" s="28"/>
      <c r="Q11" s="10"/>
      <c r="T11" s="18" t="s">
        <v>25</v>
      </c>
      <c r="U11" s="29" t="s">
        <v>53</v>
      </c>
    </row>
    <row r="12" spans="1:21" ht="14.7" customHeight="1" x14ac:dyDescent="0.3">
      <c r="B12" s="77" t="s">
        <v>5</v>
      </c>
      <c r="C12" s="5">
        <v>2.806451612903226</v>
      </c>
      <c r="D12" s="5">
        <v>2.7125396106835673</v>
      </c>
      <c r="E12" s="5">
        <v>2.7593790426908149</v>
      </c>
      <c r="F12" s="5">
        <v>2.6427161468614293</v>
      </c>
      <c r="G12" s="5">
        <v>2.2218737749902</v>
      </c>
      <c r="H12" s="5">
        <v>2.0179127725856696</v>
      </c>
      <c r="I12" s="3">
        <f t="shared" si="0"/>
        <v>-3.244762558946801E-2</v>
      </c>
      <c r="J12" s="89">
        <f t="shared" si="1"/>
        <v>-3.244762558946801E-2</v>
      </c>
      <c r="K12" s="13"/>
      <c r="N12" s="10"/>
      <c r="O12" s="10"/>
      <c r="P12" s="10"/>
      <c r="Q12" s="10"/>
      <c r="T12" s="30" t="s">
        <v>26</v>
      </c>
      <c r="U12" s="31" t="s">
        <v>54</v>
      </c>
    </row>
    <row r="13" spans="1:21" ht="14.7" customHeight="1" x14ac:dyDescent="0.3">
      <c r="N13" s="4" t="s">
        <v>5</v>
      </c>
      <c r="O13" s="10"/>
      <c r="P13" s="10"/>
      <c r="Q13" s="10"/>
      <c r="T13" s="32" t="s">
        <v>27</v>
      </c>
      <c r="U13" s="33" t="s">
        <v>55</v>
      </c>
    </row>
    <row r="14" spans="1:21" ht="14.7" customHeight="1" x14ac:dyDescent="0.3">
      <c r="N14" s="28" t="s">
        <v>5</v>
      </c>
      <c r="O14" s="10"/>
      <c r="P14" s="10"/>
      <c r="Q14" s="10"/>
      <c r="T14" s="34" t="s">
        <v>28</v>
      </c>
      <c r="U14" s="35" t="s">
        <v>56</v>
      </c>
    </row>
    <row r="15" spans="1:21" ht="14.7" customHeight="1" x14ac:dyDescent="0.3">
      <c r="B15" s="80" t="s">
        <v>7</v>
      </c>
      <c r="N15" s="28"/>
      <c r="O15" s="4" t="s">
        <v>4</v>
      </c>
      <c r="P15" s="10"/>
      <c r="Q15" s="10"/>
      <c r="T15" s="36" t="s">
        <v>29</v>
      </c>
      <c r="U15" s="37" t="s">
        <v>57</v>
      </c>
    </row>
    <row r="16" spans="1:21" ht="14.7" customHeight="1" x14ac:dyDescent="0.3">
      <c r="B16" s="71" t="s">
        <v>9</v>
      </c>
      <c r="C16" s="72">
        <v>2007</v>
      </c>
      <c r="D16" s="72">
        <v>2009</v>
      </c>
      <c r="E16" s="72">
        <v>2011</v>
      </c>
      <c r="F16" s="72">
        <v>2013</v>
      </c>
      <c r="G16" s="72">
        <v>2015</v>
      </c>
      <c r="H16" s="72">
        <v>2017</v>
      </c>
      <c r="I16" s="72" t="s">
        <v>0</v>
      </c>
      <c r="J16" s="13"/>
      <c r="K16" s="13"/>
      <c r="N16" s="10"/>
      <c r="O16" s="28" t="s">
        <v>4</v>
      </c>
      <c r="P16" s="10"/>
      <c r="Q16" s="10"/>
      <c r="T16" s="38" t="s">
        <v>30</v>
      </c>
      <c r="U16" s="39" t="s">
        <v>58</v>
      </c>
    </row>
    <row r="17" spans="1:21" ht="14.7" customHeight="1" x14ac:dyDescent="0.3">
      <c r="B17" s="77" t="s">
        <v>1</v>
      </c>
      <c r="C17" s="81">
        <v>0.76</v>
      </c>
      <c r="D17" s="81">
        <v>0.77</v>
      </c>
      <c r="E17" s="81">
        <v>0.76</v>
      </c>
      <c r="F17" s="81">
        <v>0.74</v>
      </c>
      <c r="G17" s="81">
        <v>0.72</v>
      </c>
      <c r="H17" s="81">
        <v>0.53</v>
      </c>
      <c r="I17" s="88">
        <f t="shared" ref="I17:I24" si="2">(H17/C17)^(1/10)-1</f>
        <v>-3.5402287378497377E-2</v>
      </c>
      <c r="J17" s="3">
        <f>I17</f>
        <v>-3.5402287378497377E-2</v>
      </c>
      <c r="K17" s="13"/>
      <c r="N17" s="10"/>
      <c r="O17" s="28"/>
      <c r="P17" s="4" t="s">
        <v>2</v>
      </c>
      <c r="Q17" s="10"/>
      <c r="T17" s="40" t="s">
        <v>31</v>
      </c>
      <c r="U17" s="41" t="s">
        <v>59</v>
      </c>
    </row>
    <row r="18" spans="1:21" ht="14.7" customHeight="1" x14ac:dyDescent="0.3">
      <c r="B18" s="77" t="s">
        <v>2</v>
      </c>
      <c r="C18" s="81">
        <v>0.62</v>
      </c>
      <c r="D18" s="81">
        <v>0.6</v>
      </c>
      <c r="E18" s="81">
        <v>0.65</v>
      </c>
      <c r="F18" s="81">
        <v>0.66</v>
      </c>
      <c r="G18" s="81">
        <v>0.64</v>
      </c>
      <c r="H18" s="81">
        <v>0.62</v>
      </c>
      <c r="I18" s="88">
        <f t="shared" si="2"/>
        <v>0</v>
      </c>
      <c r="J18" s="3">
        <f t="shared" ref="J18:J24" si="3">I18</f>
        <v>0</v>
      </c>
      <c r="K18" s="13"/>
      <c r="N18" s="10"/>
      <c r="O18" s="10"/>
      <c r="P18" s="28"/>
      <c r="Q18" s="10"/>
      <c r="T18" s="42" t="s">
        <v>32</v>
      </c>
      <c r="U18" s="43" t="s">
        <v>60</v>
      </c>
    </row>
    <row r="19" spans="1:21" ht="14.7" customHeight="1" x14ac:dyDescent="0.3">
      <c r="B19" s="77" t="s">
        <v>3</v>
      </c>
      <c r="C19" s="81">
        <v>0.12</v>
      </c>
      <c r="D19" s="81">
        <v>0.19</v>
      </c>
      <c r="E19" s="81">
        <v>0.17</v>
      </c>
      <c r="F19" s="81">
        <v>0.22</v>
      </c>
      <c r="G19" s="81">
        <v>0.2</v>
      </c>
      <c r="H19" s="81">
        <v>0.15</v>
      </c>
      <c r="I19" s="88">
        <f t="shared" si="2"/>
        <v>2.2565182563572872E-2</v>
      </c>
      <c r="J19" s="3">
        <f t="shared" si="3"/>
        <v>2.2565182563572872E-2</v>
      </c>
      <c r="K19" s="13"/>
      <c r="N19" s="10"/>
      <c r="O19" s="10"/>
      <c r="P19" s="10"/>
      <c r="Q19" s="4" t="s">
        <v>1</v>
      </c>
      <c r="T19" s="38" t="s">
        <v>33</v>
      </c>
      <c r="U19" s="44" t="s">
        <v>61</v>
      </c>
    </row>
    <row r="20" spans="1:21" ht="14.7" customHeight="1" x14ac:dyDescent="0.3">
      <c r="B20" s="77" t="s">
        <v>10</v>
      </c>
      <c r="C20" s="81">
        <v>0.48</v>
      </c>
      <c r="D20" s="81">
        <v>0.46</v>
      </c>
      <c r="E20" s="81">
        <v>0.5</v>
      </c>
      <c r="F20" s="81">
        <v>0.47</v>
      </c>
      <c r="G20" s="81">
        <v>0.48</v>
      </c>
      <c r="H20" s="81">
        <v>0.47</v>
      </c>
      <c r="I20" s="88">
        <f t="shared" si="2"/>
        <v>-2.1031262440773801E-3</v>
      </c>
      <c r="J20" s="3">
        <f t="shared" si="3"/>
        <v>-2.1031262440773801E-3</v>
      </c>
      <c r="K20" s="13"/>
      <c r="N20" s="10"/>
      <c r="O20" s="10"/>
      <c r="P20" s="10"/>
      <c r="Q20" s="28" t="s">
        <v>1</v>
      </c>
      <c r="T20" s="45" t="s">
        <v>34</v>
      </c>
      <c r="U20" s="46" t="s">
        <v>62</v>
      </c>
    </row>
    <row r="21" spans="1:21" ht="14.7" customHeight="1" x14ac:dyDescent="0.3">
      <c r="B21" s="77" t="s">
        <v>4</v>
      </c>
      <c r="C21" s="81">
        <v>0.79</v>
      </c>
      <c r="D21" s="81">
        <v>0.8</v>
      </c>
      <c r="E21" s="81">
        <v>0.82</v>
      </c>
      <c r="F21" s="81">
        <v>0.83</v>
      </c>
      <c r="G21" s="81">
        <v>0.82</v>
      </c>
      <c r="H21" s="81">
        <v>0.82</v>
      </c>
      <c r="I21" s="88">
        <f t="shared" si="2"/>
        <v>3.7340939014227637E-3</v>
      </c>
      <c r="J21" s="3">
        <f t="shared" si="3"/>
        <v>3.7340939014227637E-3</v>
      </c>
      <c r="K21" s="13"/>
      <c r="N21" s="10"/>
      <c r="O21" s="10"/>
      <c r="P21" s="4" t="s">
        <v>12</v>
      </c>
      <c r="Q21" s="28"/>
      <c r="T21" s="47" t="s">
        <v>35</v>
      </c>
      <c r="U21" s="48" t="s">
        <v>63</v>
      </c>
    </row>
    <row r="22" spans="1:21" ht="14.7" customHeight="1" x14ac:dyDescent="0.3">
      <c r="B22" s="77" t="s">
        <v>11</v>
      </c>
      <c r="C22" s="81">
        <v>0.4</v>
      </c>
      <c r="D22" s="81">
        <v>0.46</v>
      </c>
      <c r="E22" s="81">
        <v>0.46</v>
      </c>
      <c r="F22" s="81">
        <v>0.48</v>
      </c>
      <c r="G22" s="81">
        <v>0.53</v>
      </c>
      <c r="H22" s="81">
        <v>0.53</v>
      </c>
      <c r="I22" s="88">
        <f t="shared" si="2"/>
        <v>2.8540951399434356E-2</v>
      </c>
      <c r="J22" s="3">
        <f t="shared" si="3"/>
        <v>2.8540951399434356E-2</v>
      </c>
      <c r="K22" s="13"/>
      <c r="N22" s="10"/>
      <c r="O22" s="10"/>
      <c r="P22" s="28"/>
      <c r="Q22" s="10"/>
      <c r="T22" s="49" t="s">
        <v>36</v>
      </c>
      <c r="U22" s="50" t="s">
        <v>64</v>
      </c>
    </row>
    <row r="23" spans="1:21" ht="14.7" customHeight="1" x14ac:dyDescent="0.3">
      <c r="B23" s="77" t="s">
        <v>12</v>
      </c>
      <c r="C23" s="81">
        <v>0.57999999999999996</v>
      </c>
      <c r="D23" s="81">
        <v>0.61</v>
      </c>
      <c r="E23" s="81">
        <v>0.65</v>
      </c>
      <c r="F23" s="81">
        <v>0.7</v>
      </c>
      <c r="G23" s="81">
        <v>0.73</v>
      </c>
      <c r="H23" s="81">
        <v>0.72</v>
      </c>
      <c r="I23" s="88">
        <f t="shared" si="2"/>
        <v>2.1857766983182536E-2</v>
      </c>
      <c r="J23" s="3">
        <f t="shared" si="3"/>
        <v>2.1857766983182536E-2</v>
      </c>
      <c r="K23" s="13"/>
      <c r="N23" s="10"/>
      <c r="O23" s="10"/>
      <c r="P23" s="28"/>
      <c r="Q23" s="10"/>
      <c r="T23" s="51" t="s">
        <v>37</v>
      </c>
      <c r="U23" s="52" t="s">
        <v>65</v>
      </c>
    </row>
    <row r="24" spans="1:21" ht="14.7" customHeight="1" x14ac:dyDescent="0.3">
      <c r="B24" s="77" t="s">
        <v>5</v>
      </c>
      <c r="C24" s="81">
        <v>0.35</v>
      </c>
      <c r="D24" s="81">
        <v>0.35</v>
      </c>
      <c r="E24" s="81">
        <v>0.41</v>
      </c>
      <c r="F24" s="81">
        <v>0.48</v>
      </c>
      <c r="G24" s="81">
        <v>0.53</v>
      </c>
      <c r="H24" s="81">
        <v>0.56999999999999995</v>
      </c>
      <c r="I24" s="88">
        <f t="shared" si="2"/>
        <v>4.9979164495061346E-2</v>
      </c>
      <c r="J24" s="3">
        <f t="shared" si="3"/>
        <v>4.9979164495061346E-2</v>
      </c>
      <c r="K24" s="13"/>
      <c r="N24" s="10"/>
      <c r="O24" s="10"/>
      <c r="P24" s="4" t="s">
        <v>11</v>
      </c>
      <c r="Q24" s="10"/>
      <c r="T24" s="53" t="s">
        <v>38</v>
      </c>
      <c r="U24" s="54" t="s">
        <v>66</v>
      </c>
    </row>
    <row r="25" spans="1:21" ht="14.7" customHeight="1" x14ac:dyDescent="0.3">
      <c r="C25" s="5"/>
      <c r="D25" s="5"/>
      <c r="E25" s="5"/>
      <c r="F25" s="5"/>
      <c r="G25" s="5"/>
      <c r="H25" s="5"/>
      <c r="I25" s="55"/>
      <c r="N25" s="10"/>
      <c r="O25" s="4"/>
      <c r="P25" s="28" t="s">
        <v>11</v>
      </c>
      <c r="Q25" s="10"/>
      <c r="T25" s="56" t="s">
        <v>39</v>
      </c>
      <c r="U25" s="57" t="s">
        <v>67</v>
      </c>
    </row>
    <row r="26" spans="1:21" s="2" customFormat="1" ht="14.7" customHeight="1" x14ac:dyDescent="0.3">
      <c r="A26" s="6"/>
      <c r="B26" s="78"/>
      <c r="J26" s="4"/>
      <c r="N26" s="4"/>
      <c r="O26" s="4"/>
      <c r="P26" s="28"/>
      <c r="Q26" s="4"/>
      <c r="T26" s="58" t="s">
        <v>40</v>
      </c>
      <c r="U26" s="59" t="s">
        <v>68</v>
      </c>
    </row>
    <row r="27" spans="1:21" ht="14.7" customHeight="1" x14ac:dyDescent="0.3">
      <c r="B27" s="80" t="s">
        <v>13</v>
      </c>
      <c r="J27" s="74"/>
      <c r="T27" s="60" t="s">
        <v>41</v>
      </c>
      <c r="U27" s="61" t="s">
        <v>69</v>
      </c>
    </row>
    <row r="28" spans="1:21" ht="14.7" customHeight="1" x14ac:dyDescent="0.3">
      <c r="B28" s="71" t="s">
        <v>9</v>
      </c>
      <c r="C28" s="72" t="s">
        <v>15</v>
      </c>
      <c r="D28" s="72" t="s">
        <v>16</v>
      </c>
      <c r="E28" s="72" t="s">
        <v>14</v>
      </c>
      <c r="F28" s="62"/>
      <c r="G28" s="62"/>
      <c r="H28" s="62"/>
      <c r="I28" s="62"/>
      <c r="J28" s="74"/>
      <c r="K28" s="62"/>
      <c r="T28" s="63" t="s">
        <v>42</v>
      </c>
      <c r="U28" s="64" t="s">
        <v>70</v>
      </c>
    </row>
    <row r="29" spans="1:21" ht="14.7" customHeight="1" x14ac:dyDescent="0.3">
      <c r="B29" s="77" t="s">
        <v>1</v>
      </c>
      <c r="C29" s="65">
        <v>0.04</v>
      </c>
      <c r="D29" s="65">
        <v>0.49</v>
      </c>
      <c r="E29" s="65">
        <f t="shared" ref="E29:E36" si="4">1-(C29+D29)</f>
        <v>0.47</v>
      </c>
      <c r="F29" s="62"/>
      <c r="G29" s="62"/>
      <c r="H29" s="62"/>
      <c r="I29" s="62"/>
      <c r="J29" s="74"/>
      <c r="K29" s="62"/>
      <c r="T29" s="66" t="s">
        <v>43</v>
      </c>
      <c r="U29" s="67" t="s">
        <v>71</v>
      </c>
    </row>
    <row r="30" spans="1:21" ht="14.7" customHeight="1" x14ac:dyDescent="0.3">
      <c r="B30" s="77" t="s">
        <v>2</v>
      </c>
      <c r="C30" s="65">
        <v>0.04</v>
      </c>
      <c r="D30" s="65">
        <v>0.59</v>
      </c>
      <c r="E30" s="65">
        <f t="shared" si="4"/>
        <v>0.37</v>
      </c>
      <c r="F30" s="62"/>
      <c r="G30" s="62"/>
      <c r="H30" s="62"/>
      <c r="I30" s="62"/>
      <c r="J30" s="74"/>
      <c r="K30" s="62"/>
      <c r="T30" s="68" t="s">
        <v>44</v>
      </c>
      <c r="U30" s="69" t="s">
        <v>72</v>
      </c>
    </row>
    <row r="31" spans="1:21" ht="14.7" customHeight="1" x14ac:dyDescent="0.3">
      <c r="B31" s="77" t="s">
        <v>3</v>
      </c>
      <c r="C31" s="65">
        <v>0.04</v>
      </c>
      <c r="D31" s="65">
        <v>0.11</v>
      </c>
      <c r="E31" s="65">
        <f t="shared" si="4"/>
        <v>0.85</v>
      </c>
      <c r="F31" s="62"/>
      <c r="G31" s="62"/>
      <c r="H31" s="62"/>
      <c r="I31" s="62"/>
      <c r="J31" s="74"/>
      <c r="K31" s="62"/>
    </row>
    <row r="32" spans="1:21" ht="14.7" customHeight="1" x14ac:dyDescent="0.3">
      <c r="B32" s="77" t="s">
        <v>10</v>
      </c>
      <c r="C32" s="65">
        <v>0.03</v>
      </c>
      <c r="D32" s="65">
        <v>0.44</v>
      </c>
      <c r="E32" s="65">
        <f t="shared" si="4"/>
        <v>0.53</v>
      </c>
      <c r="F32" s="62"/>
      <c r="G32" s="62"/>
      <c r="H32" s="62"/>
      <c r="I32" s="62"/>
      <c r="J32" s="74"/>
      <c r="K32" s="62"/>
    </row>
    <row r="33" spans="2:11" ht="14.7" customHeight="1" x14ac:dyDescent="0.3">
      <c r="B33" s="77" t="s">
        <v>4</v>
      </c>
      <c r="C33" s="65">
        <v>0.04</v>
      </c>
      <c r="D33" s="65">
        <v>0.78</v>
      </c>
      <c r="E33" s="65">
        <f t="shared" si="4"/>
        <v>0.17999999999999994</v>
      </c>
      <c r="F33" s="62"/>
      <c r="G33" s="62"/>
      <c r="H33" s="62"/>
      <c r="I33" s="62"/>
      <c r="K33" s="62"/>
    </row>
    <row r="34" spans="2:11" ht="14.7" customHeight="1" x14ac:dyDescent="0.3">
      <c r="B34" s="77" t="s">
        <v>11</v>
      </c>
      <c r="C34" s="65">
        <v>0.04</v>
      </c>
      <c r="D34" s="65">
        <v>0.49</v>
      </c>
      <c r="E34" s="65">
        <f t="shared" si="4"/>
        <v>0.47</v>
      </c>
    </row>
    <row r="35" spans="2:11" ht="14.7" customHeight="1" x14ac:dyDescent="0.3">
      <c r="B35" s="77" t="s">
        <v>12</v>
      </c>
      <c r="C35" s="65">
        <v>0.04</v>
      </c>
      <c r="D35" s="65">
        <v>0.68</v>
      </c>
      <c r="E35" s="65">
        <f t="shared" si="4"/>
        <v>0.27999999999999992</v>
      </c>
    </row>
    <row r="36" spans="2:11" ht="14.7" customHeight="1" x14ac:dyDescent="0.3">
      <c r="B36" s="77" t="s">
        <v>5</v>
      </c>
      <c r="C36" s="65">
        <v>0.04</v>
      </c>
      <c r="D36" s="65">
        <v>0.53</v>
      </c>
      <c r="E36" s="65">
        <f t="shared" si="4"/>
        <v>0.42999999999999994</v>
      </c>
    </row>
    <row r="37" spans="2:11" ht="14.7" customHeight="1" x14ac:dyDescent="0.3">
      <c r="C37" s="70"/>
      <c r="D37" s="70"/>
      <c r="E37" s="70"/>
    </row>
    <row r="38" spans="2:11" ht="14.7" customHeight="1" x14ac:dyDescent="0.3">
      <c r="C38" s="70"/>
      <c r="D38" s="70"/>
      <c r="E38" s="70"/>
    </row>
    <row r="39" spans="2:11" ht="14.7" customHeight="1" x14ac:dyDescent="0.3">
      <c r="B39" s="78"/>
    </row>
    <row r="42" spans="2:11" ht="14.7" customHeight="1" x14ac:dyDescent="0.3">
      <c r="B42" s="78"/>
      <c r="J42" s="13"/>
    </row>
    <row r="43" spans="2:11" ht="14.7" customHeight="1" x14ac:dyDescent="0.3">
      <c r="B43" s="78"/>
      <c r="F43" s="13"/>
      <c r="G43" s="13"/>
      <c r="H43" s="13"/>
      <c r="I43" s="13"/>
      <c r="K43" s="13"/>
    </row>
    <row r="44" spans="2:11" ht="14.7" customHeight="1" x14ac:dyDescent="0.3">
      <c r="B44" s="78"/>
    </row>
    <row r="45" spans="2:11" ht="14.7" customHeight="1" x14ac:dyDescent="0.3">
      <c r="B45" s="78"/>
    </row>
    <row r="46" spans="2:11" ht="14.7" customHeight="1" x14ac:dyDescent="0.3">
      <c r="B46" s="78"/>
    </row>
    <row r="47" spans="2:11" ht="14.7" customHeight="1" x14ac:dyDescent="0.3">
      <c r="B47" s="78"/>
    </row>
    <row r="49" spans="2:5" ht="14.7" customHeight="1" x14ac:dyDescent="0.3">
      <c r="B49" s="78"/>
    </row>
    <row r="50" spans="2:5" ht="14.7" customHeight="1" x14ac:dyDescent="0.3">
      <c r="B50" s="78"/>
    </row>
    <row r="51" spans="2:5" ht="14.7" customHeight="1" x14ac:dyDescent="0.3">
      <c r="B51" s="78"/>
    </row>
    <row r="52" spans="2:5" ht="14.7" customHeight="1" x14ac:dyDescent="0.3">
      <c r="C52" s="70"/>
      <c r="D52" s="70"/>
      <c r="E52" s="70"/>
    </row>
    <row r="63" spans="2:5" ht="14.7" customHeight="1" x14ac:dyDescent="0.3">
      <c r="B63" s="79" t="s">
        <v>6</v>
      </c>
    </row>
  </sheetData>
  <phoneticPr fontId="23" type="noConversion"/>
  <conditionalFormatting sqref="E29:E3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:H24">
    <cfRule type="dataBar" priority="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{053AB230-F752-4D92-A833-24796F20B177}</x14:id>
        </ext>
      </extLst>
    </cfRule>
  </conditionalFormatting>
  <conditionalFormatting sqref="D29:D36">
    <cfRule type="cellIs" dxfId="10" priority="13" operator="lessThan">
      <formula>0.48</formula>
    </cfRule>
  </conditionalFormatting>
  <conditionalFormatting sqref="O11">
    <cfRule type="expression" dxfId="9" priority="12">
      <formula>O10=$K$1</formula>
    </cfRule>
  </conditionalFormatting>
  <conditionalFormatting sqref="P11">
    <cfRule type="expression" dxfId="8" priority="11">
      <formula>P10=$K$1</formula>
    </cfRule>
  </conditionalFormatting>
  <conditionalFormatting sqref="N14:N15">
    <cfRule type="expression" dxfId="7" priority="10">
      <formula>N13=$K$1</formula>
    </cfRule>
  </conditionalFormatting>
  <conditionalFormatting sqref="O16:O17">
    <cfRule type="expression" dxfId="6" priority="9">
      <formula>O15=$K$1</formula>
    </cfRule>
  </conditionalFormatting>
  <conditionalFormatting sqref="P18">
    <cfRule type="expression" dxfId="5" priority="8">
      <formula>P17=$K$1</formula>
    </cfRule>
  </conditionalFormatting>
  <conditionalFormatting sqref="Q20:Q21">
    <cfRule type="expression" dxfId="4" priority="7">
      <formula>Q19=$K$1</formula>
    </cfRule>
  </conditionalFormatting>
  <conditionalFormatting sqref="P22">
    <cfRule type="expression" dxfId="3" priority="6">
      <formula>P21=$K$1</formula>
    </cfRule>
  </conditionalFormatting>
  <conditionalFormatting sqref="P25:P26">
    <cfRule type="expression" dxfId="2" priority="5">
      <formula>P24=$K$1</formula>
    </cfRule>
  </conditionalFormatting>
  <conditionalFormatting sqref="C5:H12">
    <cfRule type="top10" dxfId="1" priority="2" bottom="1" rank="5"/>
  </conditionalFormatting>
  <conditionalFormatting sqref="B5:H12">
    <cfRule type="expression" dxfId="0" priority="14">
      <formula>$B5=$K$1</formula>
    </cfRule>
  </conditionalFormatting>
  <dataValidations count="1">
    <dataValidation type="list" allowBlank="1" showInputMessage="1" showErrorMessage="1" sqref="K1" xr:uid="{6E5B7FFA-CFBA-4CCC-A4D6-3B37F0615B54}">
      <formula1>State_Territory</formula1>
    </dataValidation>
  </dataValidations>
  <hyperlinks>
    <hyperlink ref="B63" r:id="rId1" xr:uid="{8D0F9B2E-C89B-428F-B3A3-5AFE7B1F6D4F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3AB230-F752-4D92-A833-24796F20B17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C17:H24</xm:sqref>
        </x14:conditionalFormatting>
        <x14:conditionalFormatting xmlns:xm="http://schemas.microsoft.com/office/excel/2006/main">
          <x14:cfRule type="iconSet" priority="15" id="{954DC82B-1419-4740-A4D7-ABA037CE961F}">
            <x14:iconSet iconSet="3Triangles" showValue="0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J17:J24</xm:sqref>
        </x14:conditionalFormatting>
        <x14:conditionalFormatting xmlns:xm="http://schemas.microsoft.com/office/excel/2006/main">
          <x14:cfRule type="iconSet" priority="1" id="{60692B70-E9D8-44CB-B0CA-3EFF9CACBBAB}">
            <x14:iconSet iconSet="3Triangles" showValue="0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J5:J12</xm:sqref>
        </x14:conditionalFormatting>
      </x14:conditionalFormattings>
    </ext>
    <ext xmlns:x14="http://schemas.microsoft.com/office/spreadsheetml/2009/9/main" uri="{05C60535-1F16-4fd2-B633-F4F36F0B64E0}">
      <x14:sparklineGroups xmlns:xm="http://schemas.microsoft.com/office/excel/2006/main">
        <x14:sparklineGroup displayEmptyCellsAs="gap" high="1" xr2:uid="{4C5F28B6-8D2B-4BB2-8790-F27B6D07B60F}">
          <x14:colorSeries theme="6" tint="0.39997558519241921"/>
          <x14:colorNegative theme="0" tint="-0.499984740745262"/>
          <x14:colorAxis rgb="FF000000"/>
          <x14:colorMarkers theme="6" tint="0.79998168889431442"/>
          <x14:colorFirst theme="6" tint="-0.249977111117893"/>
          <x14:colorLast theme="6" tint="-0.249977111117893"/>
          <x14:colorHigh rgb="FFFFFF00"/>
          <x14:colorLow theme="6" tint="-0.499984740745262"/>
          <x14:sparklines>
            <x14:sparkline>
              <xm:f>'State Waste Management'!C17:H17</xm:f>
              <xm:sqref>K17</xm:sqref>
            </x14:sparkline>
            <x14:sparkline>
              <xm:f>'State Waste Management'!C18:H18</xm:f>
              <xm:sqref>K18</xm:sqref>
            </x14:sparkline>
            <x14:sparkline>
              <xm:f>'State Waste Management'!C19:H19</xm:f>
              <xm:sqref>K19</xm:sqref>
            </x14:sparkline>
            <x14:sparkline>
              <xm:f>'State Waste Management'!C20:H20</xm:f>
              <xm:sqref>K20</xm:sqref>
            </x14:sparkline>
            <x14:sparkline>
              <xm:f>'State Waste Management'!C21:H21</xm:f>
              <xm:sqref>K21</xm:sqref>
            </x14:sparkline>
            <x14:sparkline>
              <xm:f>'State Waste Management'!C22:H22</xm:f>
              <xm:sqref>K22</xm:sqref>
            </x14:sparkline>
            <x14:sparkline>
              <xm:f>'State Waste Management'!C23:H23</xm:f>
              <xm:sqref>K23</xm:sqref>
            </x14:sparkline>
            <x14:sparkline>
              <xm:f>'State Waste Management'!C24:H24</xm:f>
              <xm:sqref>K24</xm:sqref>
            </x14:sparkline>
          </x14:sparklines>
        </x14:sparklineGroup>
        <x14:sparklineGroup type="column" displayEmptyCellsAs="gap" high="1" xr2:uid="{BFD278D1-8F21-4F01-824F-433014D81A26}">
          <x14:colorSeries theme="6"/>
          <x14:colorNegative theme="7"/>
          <x14:colorAxis rgb="FF000000"/>
          <x14:colorMarkers theme="6" tint="-0.249977111117893"/>
          <x14:colorFirst theme="6" tint="-0.249977111117893"/>
          <x14:colorLast theme="6" tint="-0.249977111117893"/>
          <x14:colorHigh rgb="FFFF0000"/>
          <x14:colorLow theme="6" tint="-0.249977111117893"/>
          <x14:sparklines>
            <x14:sparkline>
              <xm:f>'State Waste Management'!C5:H5</xm:f>
              <xm:sqref>K5</xm:sqref>
            </x14:sparkline>
            <x14:sparkline>
              <xm:f>'State Waste Management'!C6:H6</xm:f>
              <xm:sqref>K6</xm:sqref>
            </x14:sparkline>
            <x14:sparkline>
              <xm:f>'State Waste Management'!C7:H7</xm:f>
              <xm:sqref>K7</xm:sqref>
            </x14:sparkline>
            <x14:sparkline>
              <xm:f>'State Waste Management'!C8:H8</xm:f>
              <xm:sqref>K8</xm:sqref>
            </x14:sparkline>
            <x14:sparkline>
              <xm:f>'State Waste Management'!C9:H9</xm:f>
              <xm:sqref>K9</xm:sqref>
            </x14:sparkline>
            <x14:sparkline>
              <xm:f>'State Waste Management'!C10:H10</xm:f>
              <xm:sqref>K10</xm:sqref>
            </x14:sparkline>
            <x14:sparkline>
              <xm:f>'State Waste Management'!C11:H11</xm:f>
              <xm:sqref>K11</xm:sqref>
            </x14:sparkline>
            <x14:sparkline>
              <xm:f>'State Waste Management'!C12:H12</xm:f>
              <xm:sqref>K12</xm:sqref>
            </x14:sparkline>
          </x14:sparklines>
        </x14:sparklineGroup>
        <x14:sparklineGroup type="column" displayEmptyCellsAs="gap" xr2:uid="{C553FA38-4CF8-4D98-BBF4-23765F117F3C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'State Waste Management'!C13:H13</xm:f>
              <xm:sqref>K13</xm:sqref>
            </x14:sparkline>
          </x14:sparklines>
        </x14:sparklineGroup>
      </x14:sparklineGroup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4C35128-1A06-4965-AA7F-ABDFDDB2025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State Waste Management</vt:lpstr>
      <vt:lpstr>State_Territory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Nicole Bull</dc:creator>
  <cp:lastModifiedBy>Nilesh</cp:lastModifiedBy>
  <dcterms:created xsi:type="dcterms:W3CDTF">2020-03-03T02:51:49Z</dcterms:created>
  <dcterms:modified xsi:type="dcterms:W3CDTF">2023-01-17T17:36:25Z</dcterms:modified>
</cp:coreProperties>
</file>